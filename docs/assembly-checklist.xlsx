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c5542d940046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焊接对照" sheetId="1" r:id="Rb5570d058a3f4ecf"/>
    <x:sheet xmlns:r="http://schemas.openxmlformats.org/officeDocument/2006/relationships" name="接口与检查" sheetId="2" r:id="R51854504e66841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8">
    <x:font>
      <x:sz val="11"/>
      <x:name val="Carlito"/>
    </x:font>
    <x:font>
      <x:b/>
      <x:sz val="15"/>
      <x:color rgb="FF1F1F1F"/>
      <x:name val="Arial"/>
    </x:font>
    <x:font>
      <x:i/>
      <x:sz val="10"/>
      <x:color rgb="FF666666"/>
      <x:name val="Arial"/>
    </x:font>
    <x:font>
      <x:b/>
      <x:sz val="10"/>
      <x:color rgb="FF9C0006"/>
      <x:name val="Arial"/>
    </x:font>
    <x:font>
      <x:sz val="10"/>
      <x:color rgb="FF1F1F1F"/>
      <x:name val="Arial"/>
    </x:font>
    <x:font>
      <x:b/>
      <x:sz val="10"/>
      <x:color rgb="FF1F1F1F"/>
      <x:name val="Arial"/>
    </x:font>
    <x:font>
      <x:b/>
      <x:sz val="10"/>
      <x:color rgb="FFFFFFFF"/>
      <x:name val="Arial"/>
    </x:font>
    <x:font>
      <x:i/>
      <x:sz val="9"/>
      <x:color rgb="FF66666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F4B084"/>
      </x:left>
      <x:top style="thin">
        <x:color rgb="FFF4B084"/>
      </x:top>
      <x:bottom style="thin">
        <x:color rgb="FFF4B084"/>
      </x:bottom>
    </x:border>
    <x:border>
      <x:top style="thin">
        <x:color rgb="FFF4B084"/>
      </x:top>
      <x:bottom style="thin">
        <x:color rgb="FFF4B084"/>
      </x:bottom>
    </x:border>
    <x:border>
      <x:right style="thin">
        <x:color rgb="FFF4B084"/>
      </x:right>
      <x:top style="thin">
        <x:color rgb="FFF4B084"/>
      </x:top>
      <x:bottom style="thin">
        <x:color rgb="FFF4B084"/>
      </x:bottom>
    </x:border>
    <x:border>
      <x:bottom style="thin">
        <x:color rgb="FF9FBAD0"/>
      </x:bottom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bottom style="thin">
        <x:color rgb="FFD9E2F3"/>
      </x:bottom>
    </x:border>
    <x:border>
      <x:top style="thin">
        <x:color rgb="FFB4C6E7"/>
      </x:top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4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200" fontId="4" fillId="3" borderId="4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5" xfId="0" applyNumberFormat="1" applyFont="1" applyFill="1" applyBorder="1"/>
    <x:xf numFmtId="0" fontId="6" fillId="4" borderId="6" xfId="0" applyNumberFormat="1" applyFont="1" applyFill="1" applyBorder="1"/>
    <x:xf numFmtId="0" fontId="6" fillId="4" borderId="7" xfId="0" applyNumberFormat="1" applyFont="1" applyFill="1" applyBorder="1"/>
    <x:xf numFmtId="0" fontId="6" fillId="4" borderId="5" xfId="0" applyNumberFormat="1" applyFont="1" applyFill="1" applyBorder="1" applyAlignment="1">
      <x:alignment horizontal="center"/>
    </x:xf>
    <x:xf numFmtId="0" fontId="6" fillId="4" borderId="6" xfId="0" applyNumberFormat="1" applyFont="1" applyFill="1" applyBorder="1" applyAlignment="1">
      <x:alignment horizontal="center"/>
    </x:xf>
    <x:xf numFmtId="0" fontId="6" fillId="4" borderId="7" xfId="0" applyNumberFormat="1" applyFont="1" applyFill="1" applyBorder="1" applyAlignment="1">
      <x:alignment horizontal="center"/>
    </x:xf>
    <x:xf numFmtId="0" fontId="6" fillId="4" borderId="5" xfId="0" applyNumberFormat="1" applyFont="1" applyFill="1" applyBorder="1" applyAlignment="1">
      <x:alignment horizontal="center" vertical="center"/>
    </x:xf>
    <x:xf numFmtId="0" fontId="6" fillId="4" borderId="6" xfId="0" applyNumberFormat="1" applyFont="1" applyFill="1" applyBorder="1" applyAlignment="1">
      <x:alignment horizontal="center" vertical="center"/>
    </x:xf>
    <x:xf numFmtId="0" fontId="6" fillId="4" borderId="7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8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9" xfId="0" applyNumberFormat="1" applyFont="1" applyFill="1" applyBorder="1"/>
    <x:xf numFmtId="0" fontId="7" fillId="0" borderId="9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2F641C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i/>
        <x:color rgb="FF666666"/>
      </x:font>
      <x:fill>
        <x:patternFill patternType="solid">
          <x:bgColor rgb="FFE7E6E6"/>
        </x:patternFill>
      </x:fill>
    </x:dxf>
    <x:dxf>
      <x:font>
        <x:b/>
        <x:color rgb="FF2F641C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72ac61fd744623" /><Relationship Type="http://schemas.openxmlformats.org/officeDocument/2006/relationships/theme" Target="/xl/theme/theme1.xml" Id="R9b3449ff8b434a22" /><Relationship Type="http://schemas.openxmlformats.org/officeDocument/2006/relationships/sharedStrings" Target="/xl/sharedStrings.xml" Id="R91ec281324504f5a" /><Relationship Type="http://schemas.openxmlformats.org/officeDocument/2006/relationships/worksheet" Target="/xl/worksheets/sheet1.xml" Id="Rb5570d058a3f4ecf" /><Relationship Type="http://schemas.openxmlformats.org/officeDocument/2006/relationships/worksheet" Target="/xl/worksheets/sheet2.xml" Id="R51854504e66841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1" hidden="0" customWidth="1"/>
    <x:col min="2" max="2" width="7" hidden="0" customWidth="1"/>
    <x:col min="3" max="3" width="20" hidden="0" customWidth="1"/>
    <x:col min="4" max="4" width="8" hidden="0" customWidth="1"/>
    <x:col min="5" max="5" width="29" hidden="0" customWidth="1"/>
    <x:col min="6" max="6" width="25" hidden="0" customWidth="1"/>
    <x:col min="7" max="7" width="20" hidden="0" customWidth="1"/>
    <x:col min="8" max="8" width="35" hidden="0" customWidth="1"/>
    <x:col min="9" max="9" width="58" hidden="0" customWidth="1"/>
  </x:cols>
  <x:sheetData>
    <x:row r="2" ht="28" customHeight="1">
      <x:c r="A2" s="2" t="str">
        <x:v>LND252113 Rev.D 前放板焊接对照单</x:v>
      </x:c>
      <x:c r="B2" s="2"/>
      <x:c r="C2" s="2"/>
      <x:c r="D2" s="2"/>
      <x:c r="E2" s="2"/>
      <x:c r="F2" s="2"/>
      <x:c r="G2" s="2"/>
      <x:c r="H2" s="2"/>
      <x:c r="I2" s="2"/>
    </x:row>
    <x:row r="3" ht="21" customHeight="1">
      <x:c r="A3" s="4" t="str">
        <x:v>按最终 NativeRepair 工程、最终采购BOM与高压电容替代方案整理。状态列可边焊边更新。</x:v>
      </x:c>
      <x:c r="B3" s="4"/>
      <x:c r="C3" s="4"/>
      <x:c r="D3" s="4"/>
      <x:c r="E3" s="4"/>
      <x:c r="F3" s="4"/>
      <x:c r="G3" s="4"/>
      <x:c r="H3" s="4"/>
      <x:c r="I3" s="4"/>
    </x:row>
    <x:row r="4" ht="32" customHeight="1">
      <x:c r="A4" s="10" t="str">
        <x:v>安全提示：焊接和电阻检查时不得连接高压板或探测管；连接前确认高压电源关闭且同轴线已完全放电。</x:v>
      </x:c>
      <x:c r="B4" s="11"/>
      <x:c r="C4" s="11"/>
      <x:c r="D4" s="11"/>
      <x:c r="E4" s="11"/>
      <x:c r="F4" s="11"/>
      <x:c r="G4" s="11"/>
      <x:c r="H4" s="11"/>
      <x:c r="I4" s="12"/>
    </x:row>
    <x:row r="5" ht="25" customHeight="1">
      <x:c r="A5" s="17" t="str">
        <x:v>需焊任务</x:v>
      </x:c>
      <x:c r="B5" s="16" t="n">
        <x:f>COUNTIF(A8:A25,"&lt;&gt;DNP")</x:f>
        <x:v>17</x:v>
      </x:c>
      <x:c r="C5" s="16" t="str">
        <x:v>已焊</x:v>
      </x:c>
      <x:c r="D5" s="16" t="n">
        <x:f>COUNTIF(A8:A25,"已焊")</x:f>
        <x:v>0</x:v>
      </x:c>
      <x:c r="E5" s="16" t="str">
        <x:v>需复查/缺料</x:v>
      </x:c>
      <x:c r="F5" s="16" t="n">
        <x:f>COUNTIF(A8:A25,"需复查")+COUNTIF(A8:A25,"缺料")</x:f>
        <x:v>1</x:v>
      </x:c>
      <x:c r="G5" s="16" t="str">
        <x:v>完成率</x:v>
      </x:c>
      <x:c r="H5" s="18" t="n">
        <x:f>IF(B5=0,0,D5/B5)</x:f>
        <x:v>0</x:v>
      </x:c>
      <x:c r="I5" s="16" t="str">
        <x:v>状态：未焊 / 已焊 / 需复查 / 缺料 / DNP</x:v>
      </x:c>
    </x:row>
    <x:row r="7" ht="28" customHeight="1">
      <x:c r="A7" s="27" t="str">
        <x:v>状态</x:v>
      </x:c>
      <x:c r="B7" s="28" t="str">
        <x:v>顺序</x:v>
      </x:c>
      <x:c r="C7" s="28" t="str">
        <x:v>位号</x:v>
      </x:c>
      <x:c r="D7" s="28" t="str">
        <x:v>数量</x:v>
      </x:c>
      <x:c r="E7" s="28" t="str">
        <x:v>器件/规格</x:v>
      </x:c>
      <x:c r="F7" s="28" t="str">
        <x:v>封装</x:v>
      </x:c>
      <x:c r="G7" s="28" t="str">
        <x:v>立创料号/来源</x:v>
      </x:c>
      <x:c r="H7" s="28" t="str">
        <x:v>极性与方向</x:v>
      </x:c>
      <x:c r="I7" s="29" t="str">
        <x:v>焊接说明</x:v>
      </x:c>
    </x:row>
    <x:row r="8" ht="48" customHeight="1">
      <x:c r="A8" s="34" t="str">
        <x:v>未焊</x:v>
      </x:c>
      <x:c r="B8" s="34" t="n">
        <x:v>1</x:v>
      </x:c>
      <x:c r="C8" s="32" t="str">
        <x:v>R21</x:v>
      </x:c>
      <x:c r="D8" s="34" t="n">
        <x:v>1</x:v>
      </x:c>
      <x:c r="E8" s="36" t="str">
        <x:v>2.2 kΩ ±1%</x:v>
      </x:c>
      <x:c r="F8" s="36" t="str">
        <x:v>0805</x:v>
      </x:c>
      <x:c r="G8" s="37" t="str">
        <x:v>C17520</x:v>
      </x:c>
      <x:c r="H8" s="37" t="str">
        <x:v>无极性</x:v>
      </x:c>
      <x:c r="I8" s="36" t="str">
        <x:v>输入限流与瞬态隔离。</x:v>
      </x:c>
    </x:row>
    <x:row r="9" ht="48" customHeight="1">
      <x:c r="A9" s="34" t="str">
        <x:v>未焊</x:v>
      </x:c>
      <x:c r="B9" s="34" t="n">
        <x:v>2</x:v>
      </x:c>
      <x:c r="C9" s="32" t="str">
        <x:v>R22,R23</x:v>
      </x:c>
      <x:c r="D9" s="34" t="n">
        <x:v>2</x:v>
      </x:c>
      <x:c r="E9" s="36" t="str">
        <x:v>2 MΩ ±1%</x:v>
      </x:c>
      <x:c r="F9" s="36" t="str">
        <x:v>0805</x:v>
      </x:c>
      <x:c r="G9" s="37" t="str">
        <x:v>C114532</x:v>
      </x:c>
      <x:c r="H9" s="37" t="str">
        <x:v>无极性</x:v>
      </x:c>
      <x:c r="I9" s="36" t="str">
        <x:v>两只串联构成约4 MΩ反馈电阻。</x:v>
      </x:c>
    </x:row>
    <x:row r="10" ht="48" customHeight="1">
      <x:c r="A10" s="34" t="str">
        <x:v>未焊</x:v>
      </x:c>
      <x:c r="B10" s="34" t="n">
        <x:v>3</x:v>
      </x:c>
      <x:c r="C10" s="32" t="str">
        <x:v>R24</x:v>
      </x:c>
      <x:c r="D10" s="34" t="n">
        <x:v>1</x:v>
      </x:c>
      <x:c r="E10" s="36" t="str">
        <x:v>47 Ω ±1%</x:v>
      </x:c>
      <x:c r="F10" s="36" t="str">
        <x:v>0805</x:v>
      </x:c>
      <x:c r="G10" s="37" t="str">
        <x:v>C17714</x:v>
      </x:c>
      <x:c r="H10" s="37" t="str">
        <x:v>无极性</x:v>
      </x:c>
      <x:c r="I10" s="36" t="str">
        <x:v>模拟输出源端阻尼；不要误装成47 kΩ。</x:v>
      </x:c>
    </x:row>
    <x:row r="11" ht="48" customHeight="1">
      <x:c r="A11" s="34" t="str">
        <x:v>未焊</x:v>
      </x:c>
      <x:c r="B11" s="34" t="n">
        <x:v>4</x:v>
      </x:c>
      <x:c r="C11" s="32" t="str">
        <x:v>R25</x:v>
      </x:c>
      <x:c r="D11" s="34" t="n">
        <x:v>1</x:v>
      </x:c>
      <x:c r="E11" s="36" t="str">
        <x:v>1 kΩ ±1%</x:v>
      </x:c>
      <x:c r="F11" s="36" t="str">
        <x:v>0805</x:v>
      </x:c>
      <x:c r="G11" s="37" t="str">
        <x:v>C17513</x:v>
      </x:c>
      <x:c r="H11" s="37" t="str">
        <x:v>无极性</x:v>
      </x:c>
      <x:c r="I11" s="36" t="str">
        <x:v>测试脉冲输入串联电阻。</x:v>
      </x:c>
    </x:row>
    <x:row r="12" ht="48" customHeight="1">
      <x:c r="A12" s="34" t="str">
        <x:v>未焊</x:v>
      </x:c>
      <x:c r="B12" s="34" t="n">
        <x:v>5</x:v>
      </x:c>
      <x:c r="C12" s="32" t="str">
        <x:v>R26</x:v>
      </x:c>
      <x:c r="D12" s="34" t="n">
        <x:v>1</x:v>
      </x:c>
      <x:c r="E12" s="36" t="str">
        <x:v>1 MΩ ±1%</x:v>
      </x:c>
      <x:c r="F12" s="36" t="str">
        <x:v>0805</x:v>
      </x:c>
      <x:c r="G12" s="37" t="str">
        <x:v>C17514</x:v>
      </x:c>
      <x:c r="H12" s="37" t="str">
        <x:v>无极性</x:v>
      </x:c>
      <x:c r="I12" s="36" t="str">
        <x:v>测试脉冲输入回路。</x:v>
      </x:c>
    </x:row>
    <x:row r="13" ht="48" customHeight="1">
      <x:c r="A13" s="34" t="str">
        <x:v>未焊</x:v>
      </x:c>
      <x:c r="B13" s="34" t="n">
        <x:v>6</x:v>
      </x:c>
      <x:c r="C13" s="32" t="str">
        <x:v>R27</x:v>
      </x:c>
      <x:c r="D13" s="34" t="n">
        <x:v>1</x:v>
      </x:c>
      <x:c r="E13" s="36" t="str">
        <x:v>0 Ω</x:v>
      </x:c>
      <x:c r="F13" s="36" t="str">
        <x:v>0805</x:v>
      </x:c>
      <x:c r="G13" s="37" t="str">
        <x:v>C25275</x:v>
      </x:c>
      <x:c r="H13" s="37" t="str">
        <x:v>无极性</x:v>
      </x:c>
      <x:c r="I13" s="36" t="str">
        <x:v>连接CHASSIS与AGND；本版应安装。</x:v>
      </x:c>
    </x:row>
    <x:row r="14" ht="48" customHeight="1">
      <x:c r="A14" s="34" t="str">
        <x:v>未焊</x:v>
      </x:c>
      <x:c r="B14" s="34" t="n">
        <x:v>7</x:v>
      </x:c>
      <x:c r="C14" s="32" t="str">
        <x:v>C4,C11</x:v>
      </x:c>
      <x:c r="D14" s="34" t="n">
        <x:v>2</x:v>
      </x:c>
      <x:c r="E14" s="36" t="str">
        <x:v>1 pF ±0.25 pF 50 V C0G</x:v>
      </x:c>
      <x:c r="F14" s="36" t="str">
        <x:v>0805</x:v>
      </x:c>
      <x:c r="G14" s="37" t="str">
        <x:v>C1786</x:v>
      </x:c>
      <x:c r="H14" s="37" t="str">
        <x:v>无极性</x:v>
      </x:c>
      <x:c r="I14" s="36" t="str">
        <x:v>C4为反馈电容，C11为测试注入电容；不要与普通小容量料混袋。</x:v>
      </x:c>
    </x:row>
    <x:row r="15" ht="48" customHeight="1">
      <x:c r="A15" s="34" t="str">
        <x:v>未焊</x:v>
      </x:c>
      <x:c r="B15" s="34" t="n">
        <x:v>8</x:v>
      </x:c>
      <x:c r="C15" s="32" t="str">
        <x:v>C7,C9</x:v>
      </x:c>
      <x:c r="D15" s="34" t="n">
        <x:v>2</x:v>
      </x:c>
      <x:c r="E15" s="36" t="str">
        <x:v>100 nF ±10% 50 V X7R</x:v>
      </x:c>
      <x:c r="F15" s="36" t="str">
        <x:v>0805</x:v>
      </x:c>
      <x:c r="G15" s="37" t="str">
        <x:v>C49678</x:v>
      </x:c>
      <x:c r="H15" s="37" t="str">
        <x:v>无极性</x:v>
      </x:c>
      <x:c r="I15" s="36" t="str">
        <x:v>±5 V高频去耦。</x:v>
      </x:c>
    </x:row>
    <x:row r="16" ht="48" customHeight="1">
      <x:c r="A16" s="34" t="str">
        <x:v>未焊</x:v>
      </x:c>
      <x:c r="B16" s="34" t="n">
        <x:v>9</x:v>
      </x:c>
      <x:c r="C16" s="32" t="str">
        <x:v>C8,C10</x:v>
      </x:c>
      <x:c r="D16" s="34" t="n">
        <x:v>2</x:v>
      </x:c>
      <x:c r="E16" s="36" t="str">
        <x:v>4.7 µF ±10% 25 V X7R</x:v>
      </x:c>
      <x:c r="F16" s="36" t="str">
        <x:v>0805</x:v>
      </x:c>
      <x:c r="G16" s="37" t="str">
        <x:v>C162427</x:v>
      </x:c>
      <x:c r="H16" s="37" t="str">
        <x:v>无极性</x:v>
      </x:c>
      <x:c r="I16" s="36" t="str">
        <x:v>±5 V低频去耦；陶瓷电容无极性。</x:v>
      </x:c>
    </x:row>
    <x:row r="17" ht="48" customHeight="1">
      <x:c r="A17" s="34" t="str">
        <x:v>未焊</x:v>
      </x:c>
      <x:c r="B17" s="34" t="n">
        <x:v>10</x:v>
      </x:c>
      <x:c r="C17" s="32" t="str">
        <x:v>D1</x:v>
      </x:c>
      <x:c r="D17" s="34" t="n">
        <x:v>1</x:v>
      </x:c>
      <x:c r="E17" s="36" t="str">
        <x:v>BAV199-7-F低漏电双二极管</x:v>
      </x:c>
      <x:c r="F17" s="36" t="str">
        <x:v>SOT-23</x:v>
      </x:c>
      <x:c r="G17" s="37" t="str">
        <x:v>C155248</x:v>
      </x:c>
      <x:c r="H17" s="37" t="str">
        <x:v>按PCB 1脚标记；1/2=AGND，3=CSA_SUM</x:v>
      </x:c>
      <x:c r="I17" s="36" t="str">
        <x:v>SOT-23单独一脚为3脚，必须落在CSA_SUM侧；不可用普通BAV99随意代换。</x:v>
      </x:c>
    </x:row>
    <x:row r="18" ht="48" customHeight="1">
      <x:c r="A18" s="34" t="str">
        <x:v>未焊</x:v>
      </x:c>
      <x:c r="B18" s="34" t="n">
        <x:v>11</x:v>
      </x:c>
      <x:c r="C18" s="32" t="str">
        <x:v>U1</x:v>
      </x:c>
      <x:c r="D18" s="34" t="n">
        <x:v>1</x:v>
      </x:c>
      <x:c r="E18" s="36" t="str">
        <x:v>OPA192IDR</x:v>
      </x:c>
      <x:c r="F18" s="36" t="str">
        <x:v>SOIC-8</x:v>
      </x:c>
      <x:c r="G18" s="37" t="str">
        <x:v>C2861286</x:v>
      </x:c>
      <x:c r="H18" s="37" t="str">
        <x:v>圆点/缺口端为1脚端</x:v>
      </x:c>
      <x:c r="I18" s="36" t="str">
        <x:v>先固定对角两脚再焊。1/5/8=NC，2=-IN，3=AGND，4=-5V，6=OUT，7=+5V。</x:v>
      </x:c>
    </x:row>
    <x:row r="19" ht="48" customHeight="1">
      <x:c r="A19" s="34" t="str">
        <x:v>未焊</x:v>
      </x:c>
      <x:c r="B19" s="34" t="n">
        <x:v>12</x:v>
      </x:c>
      <x:c r="C19" s="32" t="str">
        <x:v>R31-R35</x:v>
      </x:c>
      <x:c r="D19" s="34" t="n">
        <x:v>5</x:v>
      </x:c>
      <x:c r="E19" s="36" t="str">
        <x:v>2 MΩ ±1% 0.25 W</x:v>
      </x:c>
      <x:c r="F19" s="36" t="str">
        <x:v>直插 D2.4×L6.3，P=10.5 mm</x:v>
      </x:c>
      <x:c r="G19" s="37" t="str">
        <x:v>C173055</x:v>
      </x:c>
      <x:c r="H19" s="37" t="str">
        <x:v>无极性</x:v>
      </x:c>
      <x:c r="I19" s="36" t="str">
        <x:v>五只串联为10 MΩ偏置链；保持等距，剪脚后彻底清洗并干燥。</x:v>
      </x:c>
    </x:row>
    <x:row r="20" ht="48" customHeight="1">
      <x:c r="A20" s="34" t="str">
        <x:v>缺料</x:v>
      </x:c>
      <x:c r="B20" s="34" t="n">
        <x:v>13</x:v>
      </x:c>
      <x:c r="C20" s="32" t="str">
        <x:v>C2,C3,C12</x:v>
      </x:c>
      <x:c r="D20" s="34" t="n">
        <x:v>3</x:v>
      </x:c>
      <x:c r="E20" s="36" t="str">
        <x:v>1 nF ±5% 3 kV C0G/NP0</x:v>
      </x:c>
      <x:c r="F20" s="36" t="str">
        <x:v>1812转原直插孔</x:v>
      </x:c>
      <x:c r="G20" s="37" t="str">
        <x:v>C692320</x:v>
      </x:c>
      <x:c r="H20" s="37" t="str">
        <x:v>无极性</x:v>
      </x:c>
      <x:c r="I20" s="36" t="str">
        <x:v>用短引线转接并机械固定。C2+C3串联约500 pF；到货后再装，不得用低压X7R替代。</x:v>
      </x:c>
    </x:row>
    <x:row r="21" ht="48" customHeight="1">
      <x:c r="A21" s="34" t="str">
        <x:v>未焊</x:v>
      </x:c>
      <x:c r="B21" s="34" t="n">
        <x:v>14</x:v>
      </x:c>
      <x:c r="C21" s="32" t="str">
        <x:v>J4,J5</x:v>
      </x:c>
      <x:c r="D21" s="34" t="n">
        <x:v>2</x:v>
      </x:c>
      <x:c r="E21" s="36" t="str">
        <x:v>SMA母座 垂直直插 50 Ω</x:v>
      </x:c>
      <x:c r="F21" s="36" t="str">
        <x:v>Amphenol 132134</x:v>
      </x:c>
      <x:c r="G21" s="37" t="str">
        <x:v>C3174425</x:v>
      </x:c>
      <x:c r="H21" s="37" t="str">
        <x:v>中心针=1，外壳/地脚=2</x:v>
      </x:c>
      <x:c r="I21" s="36" t="str">
        <x:v>J4为ANALOG_OUT，J5为TEST_IN；焊前再比对实物孔位。</x:v>
      </x:c>
    </x:row>
    <x:row r="22" ht="48" customHeight="1">
      <x:c r="A22" s="34" t="str">
        <x:v>未焊</x:v>
      </x:c>
      <x:c r="B22" s="34" t="n">
        <x:v>15</x:v>
      </x:c>
      <x:c r="C22" s="32" t="str">
        <x:v>J3</x:v>
      </x:c>
      <x:c r="D22" s="34" t="n">
        <x:v>1</x:v>
      </x:c>
      <x:c r="E22" s="36" t="str">
        <x:v>+5 V / AGND / -5 V电源接口</x:v>
      </x:c>
      <x:c r="F22" s="36" t="str">
        <x:v>Micro-Fit 3.0或直接焊线</x:v>
      </x:c>
      <x:c r="G22" s="37" t="str">
        <x:v>外购/直接焊线</x:v>
      </x:c>
      <x:c r="H22" s="37" t="str">
        <x:v>1=+5V，2=AGND，3=-5V</x:v>
      </x:c>
      <x:c r="I22" s="36" t="str">
        <x:v>调试阶段可不装座子，直接焊三根线并做应力释放。</x:v>
      </x:c>
    </x:row>
    <x:row r="23" ht="48" customHeight="1">
      <x:c r="A23" s="34" t="str">
        <x:v>未焊</x:v>
      </x:c>
      <x:c r="B23" s="34" t="n">
        <x:v>16</x:v>
      </x:c>
      <x:c r="C23" s="32" t="str">
        <x:v>J1</x:v>
      </x:c>
      <x:c r="D23" s="34" t="n">
        <x:v>1</x:v>
      </x:c>
      <x:c r="E23" s="36" t="str">
        <x:v>探测管端高压/信号同轴落点</x:v>
      </x:c>
      <x:c r="F23" s="36" t="str">
        <x:v>焊线落点</x:v>
      </x:c>
      <x:c r="G23" s="37" t="str">
        <x:v>外购同轴线</x:v>
      </x:c>
      <x:c r="H23" s="37" t="str">
        <x:v>1=芯线DET_BIAS，2=屏蔽CHASSIS</x:v>
      </x:c>
      <x:c r="I23" s="36" t="str">
        <x:v>不是板装BNC座；接管端同轴尾线。断电并确认放电后再焊/插拔。</x:v>
      </x:c>
    </x:row>
    <x:row r="24" ht="48" customHeight="1">
      <x:c r="A24" s="34" t="str">
        <x:v>未焊</x:v>
      </x:c>
      <x:c r="B24" s="34" t="n">
        <x:v>17</x:v>
      </x:c>
      <x:c r="C24" s="32" t="str">
        <x:v>J2</x:v>
      </x:c>
      <x:c r="D24" s="34" t="n">
        <x:v>1</x:v>
      </x:c>
      <x:c r="E24" s="36" t="str">
        <x:v>高压板来线同轴落点</x:v>
      </x:c>
      <x:c r="F24" s="36" t="str">
        <x:v>焊线落点</x:v>
      </x:c>
      <x:c r="G24" s="37" t="str">
        <x:v>外购同轴线</x:v>
      </x:c>
      <x:c r="H24" s="37" t="str">
        <x:v>1=芯线BIAS_LINK，2=屏蔽CHASSIS</x:v>
      </x:c>
      <x:c r="I24" s="36" t="str">
        <x:v>与高压板J2永久连接；两端均芯线接1脚、屏蔽接2脚。</x:v>
      </x:c>
    </x:row>
    <x:row r="25" ht="48" customHeight="1">
      <x:c r="A25" s="35" t="str">
        <x:v>DNP</x:v>
      </x:c>
      <x:c r="B25" s="35" t="n">
        <x:v>18</x:v>
      </x:c>
      <x:c r="C25" s="33" t="str">
        <x:v>C5,C6</x:v>
      </x:c>
      <x:c r="D25" s="35" t="n">
        <x:v>2</x:v>
      </x:c>
      <x:c r="E25" s="38" t="str">
        <x:v>4.7 pF / 10 pF C0G调试位</x:v>
      </x:c>
      <x:c r="F25" s="38" t="str">
        <x:v>0603</x:v>
      </x:c>
      <x:c r="G25" s="39" t="str">
        <x:v>不采购</x:v>
      </x:c>
      <x:c r="H25" s="39" t="str">
        <x:v>不安装</x:v>
      </x:c>
      <x:c r="I25" s="38" t="str">
        <x:v>默认保持空焊；本版只装C4=1 pF，三者不可同时安装。</x:v>
      </x:c>
    </x:row>
    <x:row r="27" ht="31" customHeight="1">
      <x:c r="A27" s="43" t="str">
        <x:v>来源：LND252113-Frontend-NativeRepair-20260923.epro2；最终立创商城BOM；剩余补购BOM。C2、C3、C12采用最终的1 nF/3 kV/C0G替代方案。</x:v>
      </x:c>
      <x:c r="B27" s="43"/>
      <x:c r="C27" s="43"/>
      <x:c r="D27" s="43"/>
      <x:c r="E27" s="43"/>
      <x:c r="F27" s="43"/>
      <x:c r="G27" s="43"/>
      <x:c r="H27" s="43"/>
      <x:c r="I27" s="43"/>
    </x:row>
  </x:sheetData>
  <x:mergeCells>
    <x:mergeCell ref="A2:I2"/>
    <x:mergeCell ref="A3:I3"/>
    <x:mergeCell ref="A4:I4"/>
    <x:mergeCell ref="A27:I27"/>
  </x:mergeCells>
  <x:conditionalFormatting sqref="A8:A25">
    <x:cfRule type="containsText" dxfId="0" priority="1" operator="containsText" text="已焊"/>
    <x:cfRule type="containsText" dxfId="1" priority="2" operator="containsText" text="需复查"/>
    <x:cfRule type="containsText" dxfId="2" priority="3" operator="containsText" text="缺料"/>
    <x:cfRule type="containsText" dxfId="3" priority="4" operator="containsText" text="DNP"/>
  </x:conditionalFormatting>
  <x:dataValidations count="1">
    <x:dataValidation type="list" sqref="A8:A25">
      <x:formula1>"未焊,已焊,需复查,缺料,DNP"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21" hidden="0" customWidth="1"/>
    <x:col min="3" max="3" width="29" hidden="0" customWidth="1"/>
    <x:col min="4" max="4" width="36" hidden="0" customWidth="1"/>
    <x:col min="5" max="5" width="39" hidden="0" customWidth="1"/>
    <x:col min="6" max="6" width="51" hidden="0" customWidth="1"/>
  </x:cols>
  <x:sheetData>
    <x:row r="2" ht="28" customHeight="1">
      <x:c r="A2" s="2" t="str">
        <x:v>前放板接口、方向与首次低压检查</x:v>
      </x:c>
      <x:c r="B2" s="2"/>
      <x:c r="C2" s="2"/>
      <x:c r="D2" s="2"/>
      <x:c r="E2" s="2"/>
      <x:c r="F2" s="2"/>
    </x:row>
    <x:row r="3" ht="21" customHeight="1">
      <x:c r="A3" s="4" t="str">
        <x:v>先独立完成±5 V低压检查，再连接高压板和探测管。所有电压均以AGND为参考。</x:v>
      </x:c>
      <x:c r="B3" s="4"/>
      <x:c r="C3" s="4"/>
      <x:c r="D3" s="4"/>
      <x:c r="E3" s="4"/>
      <x:c r="F3" s="4"/>
    </x:row>
    <x:row r="4" ht="32" customHeight="1">
      <x:c r="A4" s="10" t="str">
        <x:v>禁止用普通示波器探头测量约960 V高压；任何同轴线变更都要先关高压并确认放电。</x:v>
      </x:c>
      <x:c r="B4" s="11"/>
      <x:c r="C4" s="11"/>
      <x:c r="D4" s="11"/>
      <x:c r="E4" s="11"/>
      <x:c r="F4" s="12"/>
    </x:row>
    <x:row r="6" ht="26" customHeight="1">
      <x:c r="A6" s="27" t="str">
        <x:v>接口</x:v>
      </x:c>
      <x:c r="B6" s="28" t="str">
        <x:v>1脚</x:v>
      </x:c>
      <x:c r="C6" s="28" t="str">
        <x:v>2脚/其余脚</x:v>
      </x:c>
      <x:c r="D6" s="28" t="str">
        <x:v>外接方式</x:v>
      </x:c>
      <x:c r="E6" s="28" t="str">
        <x:v>正常用法</x:v>
      </x:c>
      <x:c r="F6" s="29" t="str">
        <x:v>备注</x:v>
      </x:c>
    </x:row>
    <x:row r="7" ht="47" customHeight="1">
      <x:c r="A7" s="46" t="str">
        <x:v>J1 探测管端</x:v>
      </x:c>
      <x:c r="B7" s="36" t="str">
        <x:v>DET_BIAS / 芯线</x:v>
      </x:c>
      <x:c r="C7" s="36" t="str">
        <x:v>CHASSIS / 屏蔽</x:v>
      </x:c>
      <x:c r="D7" s="36" t="str">
        <x:v>管端高压同轴尾线</x:v>
      </x:c>
      <x:c r="E7" s="36" t="str">
        <x:v>同时承载探测管高压和脉冲</x:v>
      </x:c>
      <x:c r="F7" s="36" t="str">
        <x:v>板上只是焊线落点，不是板装BNC。</x:v>
      </x:c>
    </x:row>
    <x:row r="8" ht="47" customHeight="1">
      <x:c r="A8" s="46" t="str">
        <x:v>J2 高压板来线</x:v>
      </x:c>
      <x:c r="B8" s="36" t="str">
        <x:v>BIAS_LINK / 芯线</x:v>
      </x:c>
      <x:c r="C8" s="36" t="str">
        <x:v>CHASSIS / 屏蔽</x:v>
      </x:c>
      <x:c r="D8" s="36" t="str">
        <x:v>接高压板J2</x:v>
      </x:c>
      <x:c r="E8" s="36" t="str">
        <x:v>两端芯线接1脚、屏蔽接2脚</x:v>
      </x:c>
      <x:c r="F8" s="36" t="str">
        <x:v>建议永久连接并做应力释放。</x:v>
      </x:c>
    </x:row>
    <x:row r="9" ht="47" customHeight="1">
      <x:c r="A9" s="46" t="str">
        <x:v>J3 ±5 V电源</x:v>
      </x:c>
      <x:c r="B9" s="36" t="str">
        <x:v>+5 V</x:v>
      </x:c>
      <x:c r="C9" s="36" t="str">
        <x:v>2=AGND；3=-5 V</x:v>
      </x:c>
      <x:c r="D9" s="36" t="str">
        <x:v>Micro-Fit或直接焊线</x:v>
      </x:c>
      <x:c r="E9" s="36" t="str">
        <x:v>1脚+5 V，2脚地，3脚-5 V</x:v>
      </x:c>
      <x:c r="F9" s="36" t="str">
        <x:v>上电前用万用表再次确认线序。</x:v>
      </x:c>
    </x:row>
    <x:row r="10" ht="47" customHeight="1">
      <x:c r="A10" s="46" t="str">
        <x:v>J4 ANALOG_OUT</x:v>
      </x:c>
      <x:c r="B10" s="36" t="str">
        <x:v>模拟输出中心针</x:v>
      </x:c>
      <x:c r="C10" s="36" t="str">
        <x:v>AGND / 外壳</x:v>
      </x:c>
      <x:c r="D10" s="36" t="str">
        <x:v>SMA同轴到示波器或MCA</x:v>
      </x:c>
      <x:c r="E10" s="36" t="str">
        <x:v>优先使用高阻输入</x:v>
      </x:c>
      <x:c r="F10" s="36" t="str">
        <x:v>50 Ω终端时，R24=47 Ω会使幅度约为高阻时的0.515倍。</x:v>
      </x:c>
    </x:row>
    <x:row r="11" ht="47" customHeight="1">
      <x:c r="A11" s="47" t="str">
        <x:v>J5 TEST_IN</x:v>
      </x:c>
      <x:c r="B11" s="38" t="str">
        <x:v>测试输入中心针</x:v>
      </x:c>
      <x:c r="C11" s="38" t="str">
        <x:v>AGND / 外壳</x:v>
      </x:c>
      <x:c r="D11" s="38" t="str">
        <x:v>SMA同轴接脉冲源</x:v>
      </x:c>
      <x:c r="E11" s="38" t="str">
        <x:v>用于低压测试注入</x:v>
      </x:c>
      <x:c r="F11" s="38" t="str">
        <x:v>正向小阶跃应产生负向输出脉冲。</x:v>
      </x:c>
    </x:row>
    <x:row r="15" ht="26" customHeight="1">
      <x:c r="A15" s="27" t="str">
        <x:v>器件</x:v>
      </x:c>
      <x:c r="B15" s="28" t="str">
        <x:v>方向标记</x:v>
      </x:c>
      <x:c r="C15" s="28" t="str">
        <x:v>关键引脚</x:v>
      </x:c>
      <x:c r="D15" s="28" t="str">
        <x:v>焊前确认</x:v>
      </x:c>
      <x:c r="E15" s="28" t="str">
        <x:v>焊后确认</x:v>
      </x:c>
      <x:c r="F15" s="29" t="str">
        <x:v>说明</x:v>
      </x:c>
    </x:row>
    <x:row r="16" ht="49" customHeight="1">
      <x:c r="A16" s="46" t="str">
        <x:v>U1 OPA192</x:v>
      </x:c>
      <x:c r="B16" s="36" t="str">
        <x:v>圆点/缺口端为1脚端</x:v>
      </x:c>
      <x:c r="C16" s="36" t="str">
        <x:v>2=-IN，3=AGND，4=-5V，6=OUT，7=+5V</x:v>
      </x:c>
      <x:c r="D16" s="36" t="str">
        <x:v>型号OPA192IDR、SOIC-8</x:v>
      </x:c>
      <x:c r="E16" s="36" t="str">
        <x:v>相邻脚无桥连；1/5/8保持NC</x:v>
      </x:c>
      <x:c r="F16" s="36" t="str">
        <x:v>顶视图从1脚起逆时针编号。</x:v>
      </x:c>
    </x:row>
    <x:row r="17" ht="49" customHeight="1">
      <x:c r="A17" s="46" t="str">
        <x:v>D1 BAV199</x:v>
      </x:c>
      <x:c r="B17" s="36" t="str">
        <x:v>按PCB的1脚标记</x:v>
      </x:c>
      <x:c r="C17" s="36" t="str">
        <x:v>1/2=AGND，3=CSA_SUM</x:v>
      </x:c>
      <x:c r="D17" s="36" t="str">
        <x:v>型号BAV199-7-F</x:v>
      </x:c>
      <x:c r="E17" s="36" t="str">
        <x:v>3脚未误接到地</x:v>
      </x:c>
      <x:c r="F17" s="36" t="str">
        <x:v>封装单独一脚为3脚；方向错误会把敏感节点接错。</x:v>
      </x:c>
    </x:row>
    <x:row r="18" ht="49" customHeight="1">
      <x:c r="A18" s="46" t="str">
        <x:v>C2,C3,C12</x:v>
      </x:c>
      <x:c r="B18" s="36" t="str">
        <x:v>无极性</x:v>
      </x:c>
      <x:c r="C18" s="36" t="str">
        <x:v>C2/C3为串联隔直；C12为高压侧旁路</x:v>
      </x:c>
      <x:c r="D18" s="36" t="str">
        <x:v>1 nF、3 kV、C0G/NP0</x:v>
      </x:c>
      <x:c r="E18" s="36" t="str">
        <x:v>引线短、绝缘完好、已机械固定</x:v>
      </x:c>
      <x:c r="F18" s="36" t="str">
        <x:v>1812转原直插孔；不得悬空只靠焊点承力。</x:v>
      </x:c>
    </x:row>
    <x:row r="19" ht="49" customHeight="1">
      <x:c r="A19" s="46" t="str">
        <x:v>C5,C6</x:v>
      </x:c>
      <x:c r="B19" s="36" t="str">
        <x:v>不安装</x:v>
      </x:c>
      <x:c r="C19" s="36" t="str">
        <x:v>反馈调试位</x:v>
      </x:c>
      <x:c r="D19" s="36" t="str">
        <x:v>确认料盘不参与装配</x:v>
      </x:c>
      <x:c r="E19" s="36" t="str">
        <x:v>焊盘保持空白</x:v>
      </x:c>
      <x:c r="F19" s="36" t="str">
        <x:v>默认只装C4=1 pF。</x:v>
      </x:c>
    </x:row>
    <x:row r="20" ht="49" customHeight="1">
      <x:c r="A20" s="46" t="str">
        <x:v>R27</x:v>
      </x:c>
      <x:c r="B20" s="36" t="str">
        <x:v>无极性</x:v>
      </x:c>
      <x:c r="C20" s="36" t="str">
        <x:v>AGND↔CHASSIS</x:v>
      </x:c>
      <x:c r="D20" s="36" t="str">
        <x:v>0 Ω</x:v>
      </x:c>
      <x:c r="E20" s="36" t="str">
        <x:v>两端导通</x:v>
      </x:c>
      <x:c r="F20" s="36" t="str">
        <x:v>本版公共地连接必须装。</x:v>
      </x:c>
    </x:row>
    <x:row r="21" ht="49" customHeight="1">
      <x:c r="A21" s="47" t="str">
        <x:v>J4,J5</x:v>
      </x:c>
      <x:c r="B21" s="38" t="str">
        <x:v>中心针与地脚不可混淆</x:v>
      </x:c>
      <x:c r="C21" s="38" t="str">
        <x:v>中心针=信号；外壳脚=AGND</x:v>
      </x:c>
      <x:c r="D21" s="38" t="str">
        <x:v>实物孔位与PCB吻合</x:v>
      </x:c>
      <x:c r="E21" s="38" t="str">
        <x:v>中心针未对地短路</x:v>
      </x:c>
      <x:c r="F21" s="38" t="str">
        <x:v>大地脚先少量上锡定位，再均匀补焊。</x:v>
      </x:c>
    </x:row>
    <x:row r="25" ht="26" customHeight="1">
      <x:c r="A25" s="27" t="str">
        <x:v>状态</x:v>
      </x:c>
      <x:c r="B25" s="28" t="str">
        <x:v>步骤</x:v>
      </x:c>
      <x:c r="C25" s="28" t="str">
        <x:v>检查项目</x:v>
      </x:c>
      <x:c r="D25" s="28" t="str">
        <x:v>操作</x:v>
      </x:c>
      <x:c r="E25" s="28" t="str">
        <x:v>合格判据</x:v>
      </x:c>
      <x:c r="F25" s="29" t="str">
        <x:v>备注</x:v>
      </x:c>
    </x:row>
    <x:row r="26" ht="50" customHeight="1">
      <x:c r="A26" s="37" t="str">
        <x:v>未做</x:v>
      </x:c>
      <x:c r="B26" s="37" t="n">
        <x:v>1</x:v>
      </x:c>
      <x:c r="C26" s="36" t="str">
        <x:v>目视检查</x:v>
      </x:c>
      <x:c r="D26" s="36" t="str">
        <x:v>放大检查全部焊点和高压区</x:v>
      </x:c>
      <x:c r="E26" s="36" t="str">
        <x:v>无桥连、锡珠、反装、虚焊和松动</x:v>
      </x:c>
      <x:c r="F26" s="36" t="str">
        <x:v>重点看U1、D1、SMA中心针及1812转接引线。</x:v>
      </x:c>
    </x:row>
    <x:row r="27" ht="50" customHeight="1">
      <x:c r="A27" s="37" t="str">
        <x:v>未做</x:v>
      </x:c>
      <x:c r="B27" s="37" t="n">
        <x:v>2</x:v>
      </x:c>
      <x:c r="C27" s="36" t="str">
        <x:v>清洗与干燥</x:v>
      </x:c>
      <x:c r="D27" s="36" t="str">
        <x:v>清除U1、D1、C2/C3和R31-R35周围助焊剂</x:v>
      </x:c>
      <x:c r="E27" s="36" t="str">
        <x:v>板面洁净且完全干燥</x:v>
      </x:c>
      <x:c r="F27" s="36" t="str">
        <x:v>高阻节点和高压区不应残留吸湿污染物。</x:v>
      </x:c>
    </x:row>
    <x:row r="28" ht="50" customHeight="1">
      <x:c r="A28" s="37" t="str">
        <x:v>未做</x:v>
      </x:c>
      <x:c r="B28" s="37" t="n">
        <x:v>3</x:v>
      </x:c>
      <x:c r="C28" s="36" t="str">
        <x:v>±5 V短路检查</x:v>
      </x:c>
      <x:c r="D28" s="36" t="str">
        <x:v>断电测J3-1对J3-2、J3-3对J3-2</x:v>
      </x:c>
      <x:c r="E28" s="36" t="str">
        <x:v>均不是近似0 Ω，蜂鸣档不持续鸣叫</x:v>
      </x:c>
      <x:c r="F28" s="36" t="str">
        <x:v>电容充电可能带来瞬时读数变化。</x:v>
      </x:c>
    </x:row>
    <x:row r="29" ht="50" customHeight="1">
      <x:c r="A29" s="37" t="str">
        <x:v>未做</x:v>
      </x:c>
      <x:c r="B29" s="37" t="n">
        <x:v>4</x:v>
      </x:c>
      <x:c r="C29" s="36" t="str">
        <x:v>偏置链检查</x:v>
      </x:c>
      <x:c r="D29" s="36" t="str">
        <x:v>断电测J2-1到J1-1</x:v>
      </x:c>
      <x:c r="E29" s="36" t="str">
        <x:v>约10 MΩ</x:v>
      </x:c>
      <x:c r="F29" s="36" t="str">
        <x:v>对应R31-R35五只2 MΩ串联。</x:v>
      </x:c>
    </x:row>
    <x:row r="30" ht="50" customHeight="1">
      <x:c r="A30" s="37" t="str">
        <x:v>未做</x:v>
      </x:c>
      <x:c r="B30" s="37" t="n">
        <x:v>5</x:v>
      </x:c>
      <x:c r="C30" s="36" t="str">
        <x:v>地连接检查</x:v>
      </x:c>
      <x:c r="D30" s="36" t="str">
        <x:v>测J1/J2屏蔽、J4/J5外壳与J3-2</x:v>
      </x:c>
      <x:c r="E30" s="36" t="str">
        <x:v>约0 Ω</x:v>
      </x:c>
      <x:c r="F30" s="36" t="str">
        <x:v>通过R27连接CHASSIS与AGND。</x:v>
      </x:c>
    </x:row>
    <x:row r="31" ht="50" customHeight="1">
      <x:c r="A31" s="37" t="str">
        <x:v>未做</x:v>
      </x:c>
      <x:c r="B31" s="37" t="n">
        <x:v>6</x:v>
      </x:c>
      <x:c r="C31" s="36" t="str">
        <x:v>输出电阻检查</x:v>
      </x:c>
      <x:c r="D31" s="36" t="str">
        <x:v>测J4中心针到U1-6</x:v>
      </x:c>
      <x:c r="E31" s="36" t="str">
        <x:v>约47 Ω</x:v>
      </x:c>
      <x:c r="F31" s="36" t="str">
        <x:v>对应R24。</x:v>
      </x:c>
    </x:row>
    <x:row r="32" ht="50" customHeight="1">
      <x:c r="A32" s="37" t="str">
        <x:v>未做</x:v>
      </x:c>
      <x:c r="B32" s="37" t="n">
        <x:v>7</x:v>
      </x:c>
      <x:c r="C32" s="36" t="str">
        <x:v>测试口检查</x:v>
      </x:c>
      <x:c r="D32" s="36" t="str">
        <x:v>测J5中心针到J3-2</x:v>
      </x:c>
      <x:c r="E32" s="36" t="str">
        <x:v>约1.001 MΩ</x:v>
      </x:c>
      <x:c r="F32" s="36" t="str">
        <x:v>主要为R25+R26；读数可能受表和板上电容影响。</x:v>
      </x:c>
    </x:row>
    <x:row r="33" ht="50" customHeight="1">
      <x:c r="A33" s="37" t="str">
        <x:v>未做</x:v>
      </x:c>
      <x:c r="B33" s="37" t="n">
        <x:v>8</x:v>
      </x:c>
      <x:c r="C33" s="36" t="str">
        <x:v>只接±5 V</x:v>
      </x:c>
      <x:c r="D33" s="36" t="str">
        <x:v>不接高压板、不接探测管；若可限流，先设每路20–50 mA</x:v>
      </x:c>
      <x:c r="E33" s="36" t="str">
        <x:v>无异常发热、冒烟或限流</x:v>
      </x:c>
      <x:c r="F33" s="36" t="str">
        <x:v>先确认J3线序再上电。</x:v>
      </x:c>
    </x:row>
    <x:row r="34" ht="50" customHeight="1">
      <x:c r="A34" s="37" t="str">
        <x:v>未做</x:v>
      </x:c>
      <x:c r="B34" s="37" t="n">
        <x:v>9</x:v>
      </x:c>
      <x:c r="C34" s="36" t="str">
        <x:v>检查供电</x:v>
      </x:c>
      <x:c r="D34" s="36" t="str">
        <x:v>测U1-7和U1-4对J3-2</x:v>
      </x:c>
      <x:c r="E34" s="36" t="str">
        <x:v>约+5 V和-5 V</x:v>
      </x:c>
      <x:c r="F34" s="36" t="str">
        <x:v>任一路极性错误立即断电。</x:v>
      </x:c>
    </x:row>
    <x:row r="35" ht="50" customHeight="1">
      <x:c r="A35" s="37" t="str">
        <x:v>未做</x:v>
      </x:c>
      <x:c r="B35" s="37" t="n">
        <x:v>10</x:v>
      </x:c>
      <x:c r="C35" s="36" t="str">
        <x:v>检查直流基线</x:v>
      </x:c>
      <x:c r="D35" s="36" t="str">
        <x:v>示波器高阻接J4</x:v>
      </x:c>
      <x:c r="E35" s="36" t="str">
        <x:v>输出接近0 V且未贴近任一电源轨</x:v>
      </x:c>
      <x:c r="F35" s="36" t="str">
        <x:v>若饱和，先查U1方向、反馈回路和D1。</x:v>
      </x:c>
    </x:row>
    <x:row r="36" ht="50" customHeight="1">
      <x:c r="A36" s="37" t="str">
        <x:v>未做</x:v>
      </x:c>
      <x:c r="B36" s="37" t="n">
        <x:v>11</x:v>
      </x:c>
      <x:c r="C36" s="36" t="str">
        <x:v>检查自激</x:v>
      </x:c>
      <x:c r="D36" s="36" t="str">
        <x:v>观察J4，逐步提高带宽</x:v>
      </x:c>
      <x:c r="E36" s="36" t="str">
        <x:v>无持续高频振荡，基线稳定</x:v>
      </x:c>
      <x:c r="F36" s="36" t="str">
        <x:v>先使用短地线和高阻输入排除探测伪振铃。</x:v>
      </x:c>
    </x:row>
    <x:row r="37" ht="50" customHeight="1">
      <x:c r="A37" s="37" t="str">
        <x:v>未做</x:v>
      </x:c>
      <x:c r="B37" s="37" t="n">
        <x:v>12</x:v>
      </x:c>
      <x:c r="C37" s="36" t="str">
        <x:v>测试脉冲</x:v>
      </x:c>
      <x:c r="D37" s="36" t="str">
        <x:v>J5输入约+100 mV小阶跃，J4高阻观察</x:v>
      </x:c>
      <x:c r="E37" s="36" t="str">
        <x:v>约-100 mV量级脉冲，恢复时间约4 µs</x:v>
      </x:c>
      <x:c r="F37" s="36" t="str">
        <x:v>理想关系约为-C11/C4；50 Ω终端会使幅度约减半。</x:v>
      </x:c>
    </x:row>
    <x:row r="38" ht="50" customHeight="1">
      <x:c r="A38" s="37" t="str">
        <x:v>未做</x:v>
      </x:c>
      <x:c r="B38" s="37" t="n">
        <x:v>13</x:v>
      </x:c>
      <x:c r="C38" s="36" t="str">
        <x:v>连接两板</x:v>
      </x:c>
      <x:c r="D38" s="36" t="str">
        <x:v>全部断电并确认高压放电后，连接J2同轴</x:v>
      </x:c>
      <x:c r="E38" s="36" t="str">
        <x:v>芯线对芯线、屏蔽对屏蔽，无短路</x:v>
      </x:c>
      <x:c r="F38" s="36" t="str">
        <x:v>先不接探测管。</x:v>
      </x:c>
    </x:row>
    <x:row r="39" ht="50" customHeight="1">
      <x:c r="A39" s="39" t="str">
        <x:v>未做</x:v>
      </x:c>
      <x:c r="B39" s="39" t="n">
        <x:v>14</x:v>
      </x:c>
      <x:c r="C39" s="38" t="str">
        <x:v>最后接管</x:v>
      </x:c>
      <x:c r="D39" s="38" t="str">
        <x:v>高压关闭并确认放电后连接J1探测管</x:v>
      </x:c>
      <x:c r="E39" s="38" t="str">
        <x:v>连接牢固，屏蔽连续</x:v>
      </x:c>
      <x:c r="F39" s="38" t="str">
        <x:v>随后按高压板流程分级上电。</x:v>
      </x:c>
    </x:row>
    <x:row r="42" ht="34" customHeight="1">
      <x:c r="A42" s="43" t="str">
        <x:v>依据：最终PCB网络定义；TI OPA192数据手册；Diodes Incorporated BAV199数据手册；最终电气审查。测试脉冲幅度为理想近似，实际以示波器高阻测量为准。</x:v>
      </x:c>
      <x:c r="B42" s="43"/>
      <x:c r="C42" s="43"/>
      <x:c r="D42" s="43"/>
      <x:c r="E42" s="43"/>
      <x:c r="F42" s="43"/>
    </x:row>
  </x:sheetData>
  <x:mergeCells>
    <x:mergeCell ref="A2:F2"/>
    <x:mergeCell ref="A3:F3"/>
    <x:mergeCell ref="A4:F4"/>
    <x:mergeCell ref="A42:F42"/>
  </x:mergeCells>
  <x:conditionalFormatting sqref="A26:A39">
    <x:cfRule type="containsText" dxfId="4" priority="1" operator="containsText" text="通过"/>
    <x:cfRule type="containsText" dxfId="5" priority="2" operator="containsText" text="异常"/>
  </x:conditionalFormatting>
  <x:dataValidations count="1">
    <x:dataValidation type="list" sqref="A26:A39">
      <x:formula1>"未做,通过,异常"</x:formula1>
    </x:dataValidation>
  </x:dataValidations>
  <x:pageMargins left="0.7" right="0.7" top="0.75" bottom="0.75" header="0.3" footer="0.3"/>
</x:worksheet>
</file>